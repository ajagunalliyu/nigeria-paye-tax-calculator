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B6A0098D-F447-4E12-9E5E-E922CA799FC4}" xr6:coauthVersionLast="47" xr6:coauthVersionMax="47" xr10:uidLastSave="{00000000-0000-0000-0000-000000000000}"/>
  <workbookProtection workbookAlgorithmName="SHA-512" workbookHashValue="VJrsk+KTi0tjrCMf6Eouwd7U6w1O/0QJPCCPOsMgXGadSZApo+wyC27Jfvg905E0KveLJJDyXq7YKwhUgGx12w==" workbookSaltValue="4cevuvX2wj3Inm8p0rD2eQ==" workbookSpinCount="100000" lockStructure="1"/>
  <bookViews>
    <workbookView xWindow="-110" yWindow="-110" windowWidth="19420" windowHeight="10420" xr2:uid="{651C02E8-0BD7-46ED-9D39-94A47B6D38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8" i="1" l="1"/>
  <c r="H3" i="1"/>
  <c r="C8" i="1"/>
  <c r="C10" i="1"/>
  <c r="I9" i="1" s="1"/>
  <c r="I10" i="1" l="1"/>
  <c r="I14" i="1" l="1"/>
  <c r="D10" i="1" s="1"/>
  <c r="D8" i="1" l="1"/>
  <c r="E16" i="1"/>
  <c r="F16" i="1" s="1"/>
  <c r="E14" i="1"/>
  <c r="F14" i="1" s="1"/>
  <c r="E18" i="1"/>
  <c r="F18" i="1" s="1"/>
  <c r="E15" i="1"/>
  <c r="F15" i="1" s="1"/>
  <c r="E19" i="1"/>
  <c r="F19" i="1" s="1"/>
  <c r="E17" i="1"/>
  <c r="F17" i="1" s="1"/>
  <c r="F20" i="1" l="1"/>
  <c r="E10" i="1" s="1"/>
  <c r="E8" i="1" s="1"/>
  <c r="E20" i="1"/>
  <c r="E11" i="1" l="1"/>
  <c r="F10" i="1"/>
  <c r="F8" i="1" s="1"/>
</calcChain>
</file>

<file path=xl/sharedStrings.xml><?xml version="1.0" encoding="utf-8"?>
<sst xmlns="http://schemas.openxmlformats.org/spreadsheetml/2006/main" count="43" uniqueCount="39">
  <si>
    <t>Income After Tax</t>
  </si>
  <si>
    <t>₦0 - ₦800,000</t>
  </si>
  <si>
    <t>Above ₦50,000,000</t>
  </si>
  <si>
    <t>How your Tax is Calculated</t>
  </si>
  <si>
    <t>Tax is calculated progressively. Each income range is taxed seperately.</t>
  </si>
  <si>
    <t>Total Tax</t>
  </si>
  <si>
    <t>₦800,001 - ₦3,000,000</t>
  </si>
  <si>
    <t>₦3,000,001 - ₦12,000,000</t>
  </si>
  <si>
    <t>₦12,000,001 - ₦25,000,000</t>
  </si>
  <si>
    <t>₦25,000,001 - ₦50,000,000</t>
  </si>
  <si>
    <t>Estimated Tax Rate (%)</t>
  </si>
  <si>
    <t>Income Range</t>
  </si>
  <si>
    <t>Tax Rate (%)</t>
  </si>
  <si>
    <r>
      <t>Amount Taxed (</t>
    </r>
    <r>
      <rPr>
        <b/>
        <sz val="12"/>
        <color theme="1"/>
        <rFont val="Aptos Narrow"/>
        <family val="2"/>
      </rPr>
      <t>₦</t>
    </r>
    <r>
      <rPr>
        <b/>
        <sz val="12"/>
        <color theme="1"/>
        <rFont val="Arial"/>
        <family val="2"/>
      </rPr>
      <t>)</t>
    </r>
  </si>
  <si>
    <r>
      <t>Tax Due (</t>
    </r>
    <r>
      <rPr>
        <b/>
        <sz val="12"/>
        <color theme="1"/>
        <rFont val="Aptos Narrow"/>
        <family val="2"/>
      </rPr>
      <t>₦</t>
    </r>
    <r>
      <rPr>
        <b/>
        <sz val="12"/>
        <color theme="1"/>
        <rFont val="Arial"/>
        <family val="2"/>
      </rPr>
      <t>)</t>
    </r>
  </si>
  <si>
    <r>
      <t>Monthly Income (</t>
    </r>
    <r>
      <rPr>
        <b/>
        <sz val="10"/>
        <color theme="1"/>
        <rFont val="Aptos Narrow"/>
        <family val="2"/>
      </rPr>
      <t>₦</t>
    </r>
    <r>
      <rPr>
        <b/>
        <sz val="10"/>
        <color theme="1"/>
        <rFont val="Arial"/>
        <family val="2"/>
      </rPr>
      <t>)</t>
    </r>
  </si>
  <si>
    <r>
      <t>Monthly (</t>
    </r>
    <r>
      <rPr>
        <b/>
        <sz val="10"/>
        <color theme="1"/>
        <rFont val="Aptos Narrow"/>
        <family val="2"/>
      </rPr>
      <t>₦</t>
    </r>
    <r>
      <rPr>
        <b/>
        <sz val="10"/>
        <color theme="1"/>
        <rFont val="Arial"/>
        <family val="2"/>
      </rPr>
      <t>)</t>
    </r>
  </si>
  <si>
    <r>
      <t>Annual Income (</t>
    </r>
    <r>
      <rPr>
        <b/>
        <sz val="10"/>
        <color theme="1"/>
        <rFont val="Aptos Narrow"/>
        <family val="2"/>
      </rPr>
      <t>₦</t>
    </r>
    <r>
      <rPr>
        <b/>
        <sz val="10"/>
        <color theme="1"/>
        <rFont val="Arial"/>
        <family val="2"/>
      </rPr>
      <t>)</t>
    </r>
  </si>
  <si>
    <r>
      <t>Annual (</t>
    </r>
    <r>
      <rPr>
        <b/>
        <sz val="10"/>
        <color theme="1"/>
        <rFont val="Aptos Narrow"/>
        <family val="2"/>
      </rPr>
      <t>₦</t>
    </r>
    <r>
      <rPr>
        <b/>
        <sz val="10"/>
        <color theme="1"/>
        <rFont val="Arial"/>
        <family val="2"/>
      </rPr>
      <t>)</t>
    </r>
  </si>
  <si>
    <t>Allowable Deductions</t>
  </si>
  <si>
    <t>Pension (PFA)</t>
  </si>
  <si>
    <t>Health (NHIS)</t>
  </si>
  <si>
    <t>Housing (NHF)</t>
  </si>
  <si>
    <t>Life Insurace</t>
  </si>
  <si>
    <t>Mortgage Interest</t>
  </si>
  <si>
    <t>Rent Relief is 20% of annual rent, capped at ₦500,000</t>
  </si>
  <si>
    <t>NOTE:</t>
  </si>
  <si>
    <t>Pension(PFA) is usually 8% of your(basic + housing + transport)</t>
  </si>
  <si>
    <t>Gross Income</t>
  </si>
  <si>
    <r>
      <t>Monthly Income (</t>
    </r>
    <r>
      <rPr>
        <sz val="12"/>
        <color theme="1"/>
        <rFont val="Aptos Narrow"/>
        <family val="2"/>
      </rPr>
      <t>₦</t>
    </r>
    <r>
      <rPr>
        <sz val="12"/>
        <color theme="1"/>
        <rFont val="Arial"/>
        <family val="2"/>
      </rPr>
      <t>)</t>
    </r>
  </si>
  <si>
    <r>
      <t>Annual Income (</t>
    </r>
    <r>
      <rPr>
        <sz val="12"/>
        <color theme="1"/>
        <rFont val="Aptos Narrow"/>
        <family val="2"/>
      </rPr>
      <t>₦</t>
    </r>
    <r>
      <rPr>
        <sz val="12"/>
        <color theme="1"/>
        <rFont val="Arial"/>
        <family val="2"/>
      </rPr>
      <t>)</t>
    </r>
  </si>
  <si>
    <t xml:space="preserve">Input Income Amount here </t>
  </si>
  <si>
    <t>Rent</t>
  </si>
  <si>
    <t>Taxable Income</t>
  </si>
  <si>
    <t>Health (NHIS) is 2.5% of income</t>
  </si>
  <si>
    <t>Housing (NHF) is fully deductible</t>
  </si>
  <si>
    <t>Total</t>
  </si>
  <si>
    <t>Life Insurance and Mortgage Interest are fully deductible</t>
  </si>
  <si>
    <t>Rent Relief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</si>
</sst>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₦#,##0;\₦\-#,##0;\₦0"/>
    <numFmt numFmtId="165" formatCode="[$₦-46A]#,##0.0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14"/>
      <color rgb="FF1F4D2B"/>
      <name val="Arial"/>
      <family val="2"/>
    </font>
    <font>
      <sz val="12"/>
      <color rgb="FF1F4D2B"/>
      <name val="Arial"/>
      <family val="2"/>
    </font>
    <font>
      <sz val="11"/>
      <color rgb="FF1F4D2B"/>
      <name val="Arial"/>
      <family val="2"/>
    </font>
    <font>
      <b/>
      <sz val="8"/>
      <color theme="5" tint="-0.499984740745262"/>
      <name val="Arial"/>
      <family val="2"/>
    </font>
    <font>
      <b/>
      <sz val="10"/>
      <color rgb="FF1F4D2B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Aptos Narrow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ptos Narrow"/>
      <family val="2"/>
    </font>
    <font>
      <b/>
      <sz val="12"/>
      <color theme="5" tint="-0.499984740745262"/>
      <name val="Arial"/>
      <family val="2"/>
    </font>
    <font>
      <b/>
      <sz val="14"/>
      <color rgb="FF1F4D2B"/>
      <name val="Arial"/>
      <family val="2"/>
    </font>
    <font>
      <sz val="14"/>
      <color theme="0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ptos Narrow"/>
      <family val="2"/>
    </font>
    <font>
      <b/>
      <sz val="11"/>
      <color rgb="FF00875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8F5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D2B"/>
        <bgColor indexed="64"/>
      </patternFill>
    </fill>
    <fill>
      <patternFill patternType="solid">
        <fgColor rgb="FF008751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1F4D2B"/>
      </left>
      <right style="medium">
        <color rgb="FF1F4D2B"/>
      </right>
      <top style="medium">
        <color rgb="FF1F4D2B"/>
      </top>
      <bottom style="medium">
        <color rgb="FF1F4D2B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0" xfId="0" applyFont="1" applyFill="1" applyProtection="1">
      <protection hidden="1"/>
    </xf>
    <xf numFmtId="0" fontId="2" fillId="0" borderId="0" xfId="0" applyFont="1" applyProtection="1">
      <protection hidden="1"/>
    </xf>
    <xf numFmtId="0" fontId="12" fillId="2" borderId="0" xfId="0" applyFont="1" applyFill="1" applyProtection="1">
      <protection hidden="1"/>
    </xf>
    <xf numFmtId="0" fontId="9" fillId="3" borderId="1" xfId="0" applyFont="1" applyFill="1" applyBorder="1" applyProtection="1">
      <protection hidden="1"/>
    </xf>
    <xf numFmtId="0" fontId="13" fillId="2" borderId="0" xfId="0" applyFont="1" applyFill="1" applyProtection="1">
      <protection hidden="1"/>
    </xf>
    <xf numFmtId="164" fontId="2" fillId="2" borderId="0" xfId="1" applyNumberFormat="1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Border="1" applyAlignment="1" applyProtection="1">
      <alignment horizontal="center" vertical="center"/>
      <protection hidden="1"/>
    </xf>
    <xf numFmtId="164" fontId="10" fillId="2" borderId="1" xfId="1" applyNumberFormat="1" applyFont="1" applyFill="1" applyBorder="1" applyAlignment="1" applyProtection="1">
      <alignment horizontal="center" vertical="center"/>
      <protection hidden="1"/>
    </xf>
    <xf numFmtId="0" fontId="6" fillId="3" borderId="1" xfId="0" applyFont="1" applyFill="1" applyBorder="1" applyAlignment="1" applyProtection="1">
      <alignment horizontal="center" vertical="center"/>
      <protection hidden="1"/>
    </xf>
    <xf numFmtId="9" fontId="5" fillId="3" borderId="1" xfId="0" applyNumberFormat="1" applyFont="1" applyFill="1" applyBorder="1" applyAlignment="1" applyProtection="1">
      <alignment horizontal="center" vertical="center"/>
      <protection hidden="1"/>
    </xf>
    <xf numFmtId="0" fontId="19" fillId="3" borderId="1" xfId="0" applyFont="1" applyFill="1" applyBorder="1" applyProtection="1">
      <protection hidden="1"/>
    </xf>
    <xf numFmtId="0" fontId="3" fillId="2" borderId="2" xfId="0" applyFont="1" applyFill="1" applyBorder="1" applyAlignment="1" applyProtection="1">
      <alignment horizontal="left" vertical="center"/>
      <protection hidden="1"/>
    </xf>
    <xf numFmtId="10" fontId="16" fillId="3" borderId="1" xfId="2" applyNumberFormat="1" applyFont="1" applyFill="1" applyBorder="1" applyAlignment="1" applyProtection="1">
      <alignment horizontal="center" vertical="center"/>
      <protection hidden="1"/>
    </xf>
    <xf numFmtId="165" fontId="2" fillId="3" borderId="1" xfId="1" applyNumberFormat="1" applyFont="1" applyFill="1" applyBorder="1" applyAlignment="1" applyProtection="1">
      <alignment horizontal="left" vertical="center"/>
      <protection hidden="1"/>
    </xf>
    <xf numFmtId="165" fontId="17" fillId="5" borderId="1" xfId="1" applyNumberFormat="1" applyFont="1" applyFill="1" applyBorder="1" applyAlignment="1" applyProtection="1">
      <alignment horizontal="left" vertical="center"/>
      <protection hidden="1"/>
    </xf>
    <xf numFmtId="165" fontId="17" fillId="4" borderId="1" xfId="1" applyNumberFormat="1" applyFont="1" applyFill="1" applyBorder="1" applyAlignment="1" applyProtection="1">
      <alignment horizontal="left" vertical="center"/>
      <protection hidden="1"/>
    </xf>
    <xf numFmtId="165" fontId="17" fillId="5" borderId="4" xfId="1" applyNumberFormat="1" applyFont="1" applyFill="1" applyBorder="1" applyAlignment="1" applyProtection="1">
      <alignment horizontal="left" vertical="center"/>
      <protection hidden="1"/>
    </xf>
    <xf numFmtId="165" fontId="16" fillId="3" borderId="1" xfId="0" applyNumberFormat="1" applyFont="1" applyFill="1" applyBorder="1" applyProtection="1">
      <protection hidden="1"/>
    </xf>
    <xf numFmtId="165" fontId="4" fillId="3" borderId="1" xfId="0" applyNumberFormat="1" applyFont="1" applyFill="1" applyBorder="1" applyProtection="1">
      <protection hidden="1"/>
    </xf>
    <xf numFmtId="165" fontId="2" fillId="6" borderId="1" xfId="1" applyNumberFormat="1" applyFont="1" applyFill="1" applyBorder="1" applyAlignment="1" applyProtection="1">
      <alignment horizontal="left" vertical="center"/>
      <protection locked="0"/>
    </xf>
    <xf numFmtId="165" fontId="18" fillId="3" borderId="1" xfId="1" applyNumberFormat="1" applyFont="1" applyFill="1" applyBorder="1" applyAlignment="1" applyProtection="1">
      <alignment horizontal="left" vertical="center"/>
      <protection hidden="1"/>
    </xf>
    <xf numFmtId="0" fontId="21" fillId="2" borderId="5" xfId="0" applyFont="1" applyFill="1" applyBorder="1" applyAlignment="1" applyProtection="1">
      <alignment horizontal="left"/>
      <protection hidden="1"/>
    </xf>
    <xf numFmtId="0" fontId="9" fillId="0" borderId="1" xfId="0" applyFont="1" applyBorder="1" applyProtection="1">
      <protection hidden="1"/>
    </xf>
    <xf numFmtId="0" fontId="7" fillId="2" borderId="2" xfId="0" applyFont="1" applyFill="1" applyBorder="1" applyAlignment="1" applyProtection="1">
      <alignment horizontal="center"/>
      <protection hidden="1"/>
    </xf>
    <xf numFmtId="0" fontId="3" fillId="2" borderId="3" xfId="0" applyFont="1" applyFill="1" applyBorder="1" applyAlignment="1" applyProtection="1">
      <alignment horizontal="center"/>
      <protection hidden="1"/>
    </xf>
    <xf numFmtId="0" fontId="15" fillId="2" borderId="5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Alignment="1" applyProtection="1">
      <alignment horizontal="left"/>
      <protection hidden="1"/>
    </xf>
    <xf numFmtId="0" fontId="10" fillId="2" borderId="6" xfId="0" applyFont="1" applyFill="1" applyBorder="1" applyAlignment="1" applyProtection="1">
      <alignment horizontal="left"/>
      <protection hidden="1"/>
    </xf>
    <xf numFmtId="0" fontId="2" fillId="4" borderId="7" xfId="0" applyFont="1" applyFill="1" applyBorder="1" applyProtection="1">
      <protection hidden="1"/>
    </xf>
    <xf numFmtId="0" fontId="2" fillId="4" borderId="8" xfId="0" applyFont="1" applyFill="1" applyBorder="1" applyProtection="1">
      <protection hidden="1"/>
    </xf>
    <xf numFmtId="0" fontId="2" fillId="4" borderId="9" xfId="0" applyFont="1" applyFill="1" applyBorder="1" applyProtection="1">
      <protection hidden="1"/>
    </xf>
    <xf numFmtId="0" fontId="2" fillId="4" borderId="10" xfId="0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/>
      <protection hidden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1F4D2B"/>
      <color rgb="FFE8F5E9"/>
      <color rgb="FF0087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698254</xdr:colOff>
      <xdr:row>8</xdr:row>
      <xdr:rowOff>90124</xdr:rowOff>
    </xdr:from>
    <xdr:to>
      <xdr:col>8</xdr:col>
      <xdr:colOff>750149</xdr:colOff>
      <xdr:row>22</xdr:row>
      <xdr:rowOff>28843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D544F0A-AA33-6DA0-2252-98B3FB6A4CD7}"/>
            </a:ext>
          </a:extLst>
        </xdr:cNvPr>
        <xdr:cNvSpPr txBox="1"/>
      </xdr:nvSpPr>
      <xdr:spPr>
        <a:xfrm rot="20593141">
          <a:off x="1136404" y="1880824"/>
          <a:ext cx="9189545" cy="30692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9600">
              <a:solidFill>
                <a:srgbClr val="1F4D2B">
                  <a:alpha val="7000"/>
                </a:srgbClr>
              </a:solidFill>
            </a:rPr>
            <a:t>Alliyu</a:t>
          </a:r>
          <a:r>
            <a:rPr lang="en-US" sz="9600" baseline="0">
              <a:solidFill>
                <a:srgbClr val="1F4D2B">
                  <a:alpha val="7000"/>
                </a:srgbClr>
              </a:solidFill>
            </a:rPr>
            <a:t> The Analyst</a:t>
          </a:r>
          <a:endParaRPr lang="en-US" sz="9600">
            <a:solidFill>
              <a:srgbClr val="1F4D2B">
                <a:alpha val="7000"/>
              </a:srgbClr>
            </a:solidFill>
          </a:endParaRPr>
        </a:p>
      </xdr:txBody>
    </xdr:sp>
    <xdr:clientData/>
  </xdr:twoCellAnchor>
  <xdr:twoCellAnchor>
    <xdr:from>
      <xdr:col>1</xdr:col>
      <xdr:colOff>12700</xdr:colOff>
      <xdr:row>0</xdr:row>
      <xdr:rowOff>12700</xdr:rowOff>
    </xdr:from>
    <xdr:to>
      <xdr:col>6</xdr:col>
      <xdr:colOff>19050</xdr:colOff>
      <xdr:row>1</xdr:row>
      <xdr:rowOff>222250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15DAA77-6952-3499-4AA1-35C12CCDBF05}"/>
            </a:ext>
          </a:extLst>
        </xdr:cNvPr>
        <xdr:cNvSpPr/>
      </xdr:nvSpPr>
      <xdr:spPr>
        <a:xfrm>
          <a:off x="266700" y="12700"/>
          <a:ext cx="7353300" cy="438150"/>
        </a:xfrm>
        <a:prstGeom prst="rect">
          <a:avLst/>
        </a:prstGeom>
        <a:solidFill>
          <a:srgbClr val="1F4D2B"/>
        </a:solidFill>
        <a:ln>
          <a:solidFill>
            <a:srgbClr val="1F4D2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50800</xdr:colOff>
      <xdr:row>0</xdr:row>
      <xdr:rowOff>88900</xdr:rowOff>
    </xdr:from>
    <xdr:to>
      <xdr:col>5</xdr:col>
      <xdr:colOff>1765300</xdr:colOff>
      <xdr:row>3</xdr:row>
      <xdr:rowOff>215900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D2F23FD-9DF3-D458-2075-1FF771F615E1}"/>
            </a:ext>
          </a:extLst>
        </xdr:cNvPr>
        <xdr:cNvSpPr/>
      </xdr:nvSpPr>
      <xdr:spPr>
        <a:xfrm>
          <a:off x="660400" y="88900"/>
          <a:ext cx="7270750" cy="793750"/>
        </a:xfrm>
        <a:prstGeom prst="roundRect">
          <a:avLst/>
        </a:prstGeom>
        <a:solidFill>
          <a:schemeClr val="bg1">
            <a:lumMod val="95000"/>
          </a:schemeClr>
        </a:solidFill>
        <a:ln>
          <a:solidFill>
            <a:srgbClr val="1F4D2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1F4D2B"/>
              </a:solidFill>
              <a:latin typeface="Arial" panose="020B0604020202020204" pitchFamily="34" charset="0"/>
              <a:cs typeface="Arial" panose="020B0604020202020204" pitchFamily="34" charset="0"/>
            </a:rPr>
            <a:t>	</a:t>
          </a:r>
          <a:r>
            <a:rPr lang="en-US" sz="1600" b="1">
              <a:solidFill>
                <a:srgbClr val="1F4D2B"/>
              </a:solidFill>
              <a:latin typeface="Arial" panose="020B0604020202020204" pitchFamily="34" charset="0"/>
              <a:cs typeface="Arial" panose="020B0604020202020204" pitchFamily="34" charset="0"/>
            </a:rPr>
            <a:t>Nigerian</a:t>
          </a:r>
        </a:p>
        <a:p>
          <a:pPr algn="l"/>
          <a:r>
            <a:rPr lang="en-US" sz="1600" b="1">
              <a:solidFill>
                <a:srgbClr val="1F4D2B"/>
              </a:solidFill>
              <a:latin typeface="Arial" panose="020B0604020202020204" pitchFamily="34" charset="0"/>
              <a:cs typeface="Arial" panose="020B0604020202020204" pitchFamily="34" charset="0"/>
            </a:rPr>
            <a:t>	Income</a:t>
          </a:r>
          <a:r>
            <a:rPr lang="en-US" sz="1600" b="1" baseline="0">
              <a:solidFill>
                <a:srgbClr val="1F4D2B"/>
              </a:solidFill>
              <a:latin typeface="Arial" panose="020B0604020202020204" pitchFamily="34" charset="0"/>
              <a:cs typeface="Arial" panose="020B0604020202020204" pitchFamily="34" charset="0"/>
            </a:rPr>
            <a:t> Tax Calculator</a:t>
          </a:r>
        </a:p>
        <a:p>
          <a:pPr algn="l"/>
          <a:r>
            <a:rPr lang="en-US" sz="900" b="0" baseline="0">
              <a:solidFill>
                <a:srgbClr val="1F4D2B"/>
              </a:solidFill>
              <a:latin typeface="Arial" panose="020B0604020202020204" pitchFamily="34" charset="0"/>
              <a:cs typeface="Arial" panose="020B0604020202020204" pitchFamily="34" charset="0"/>
            </a:rPr>
            <a:t>	</a:t>
          </a:r>
          <a:r>
            <a:rPr lang="en-US" sz="900" b="1" baseline="0">
              <a:solidFill>
                <a:srgbClr val="1F4D2B"/>
              </a:solidFill>
              <a:latin typeface="Arial" panose="020B0604020202020204" pitchFamily="34" charset="0"/>
              <a:cs typeface="Arial" panose="020B0604020202020204" pitchFamily="34" charset="0"/>
            </a:rPr>
            <a:t>New Tax Policy Effective January 1st 2026</a:t>
          </a:r>
          <a:endParaRPr lang="en-US" sz="900" b="1">
            <a:solidFill>
              <a:srgbClr val="1F4D2B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6350</xdr:colOff>
      <xdr:row>20</xdr:row>
      <xdr:rowOff>0</xdr:rowOff>
    </xdr:from>
    <xdr:to>
      <xdr:col>8</xdr:col>
      <xdr:colOff>1765300</xdr:colOff>
      <xdr:row>22</xdr:row>
      <xdr:rowOff>12700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2D90B5B-8DC5-4123-A8E4-F2263F30F49E}"/>
            </a:ext>
          </a:extLst>
        </xdr:cNvPr>
        <xdr:cNvSpPr/>
      </xdr:nvSpPr>
      <xdr:spPr>
        <a:xfrm>
          <a:off x="260350" y="4483100"/>
          <a:ext cx="11080750" cy="457200"/>
        </a:xfrm>
        <a:prstGeom prst="rect">
          <a:avLst/>
        </a:prstGeom>
        <a:solidFill>
          <a:srgbClr val="1F4D2B"/>
        </a:solidFill>
        <a:ln>
          <a:solidFill>
            <a:srgbClr val="1F4D2B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1549401</xdr:colOff>
      <xdr:row>0</xdr:row>
      <xdr:rowOff>76202</xdr:rowOff>
    </xdr:from>
    <xdr:to>
      <xdr:col>4</xdr:col>
      <xdr:colOff>673101</xdr:colOff>
      <xdr:row>3</xdr:row>
      <xdr:rowOff>192619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D22BBA2-B2E9-D1D1-C744-A7AFA3DE7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33851" y="76202"/>
          <a:ext cx="914400" cy="795867"/>
        </a:xfrm>
        <a:prstGeom prst="rect">
          <a:avLst/>
        </a:prstGeom>
      </xdr:spPr>
    </xdr:pic>
    <xdr:clientData/>
  </xdr:twoCellAnchor>
  <xdr:twoCellAnchor editAs="oneCell">
    <xdr:from>
      <xdr:col>1</xdr:col>
      <xdr:colOff>114301</xdr:colOff>
      <xdr:row>0</xdr:row>
      <xdr:rowOff>107951</xdr:rowOff>
    </xdr:from>
    <xdr:to>
      <xdr:col>2</xdr:col>
      <xdr:colOff>844551</xdr:colOff>
      <xdr:row>3</xdr:row>
      <xdr:rowOff>204242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E8BB23-6867-2E54-BA91-43A5145A1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1" y="107951"/>
          <a:ext cx="914400" cy="775741"/>
        </a:xfrm>
        <a:prstGeom prst="rect">
          <a:avLst/>
        </a:prstGeom>
      </xdr:spPr>
    </xdr:pic>
    <xdr:clientData/>
  </xdr:twoCellAnchor>
  <xdr:twoCellAnchor editAs="oneCell">
    <xdr:from>
      <xdr:col>4</xdr:col>
      <xdr:colOff>425450</xdr:colOff>
      <xdr:row>0</xdr:row>
      <xdr:rowOff>82550</xdr:rowOff>
    </xdr:from>
    <xdr:to>
      <xdr:col>5</xdr:col>
      <xdr:colOff>463550</xdr:colOff>
      <xdr:row>3</xdr:row>
      <xdr:rowOff>169504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B12EC30-8841-A3FB-D911-DF0C40196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00600" y="82550"/>
          <a:ext cx="1828800" cy="766404"/>
        </a:xfrm>
        <a:prstGeom prst="rect">
          <a:avLst/>
        </a:prstGeom>
      </xdr:spPr>
    </xdr:pic>
    <xdr:clientData/>
  </xdr:twoCellAnchor>
  <xdr:twoCellAnchor>
    <xdr:from>
      <xdr:col>5</xdr:col>
      <xdr:colOff>114300</xdr:colOff>
      <xdr:row>1</xdr:row>
      <xdr:rowOff>38100</xdr:rowOff>
    </xdr:from>
    <xdr:to>
      <xdr:col>5</xdr:col>
      <xdr:colOff>1663700</xdr:colOff>
      <xdr:row>3</xdr:row>
      <xdr:rowOff>95250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985F4F3-C917-B6C4-2562-7514A50826A3}"/>
            </a:ext>
          </a:extLst>
        </xdr:cNvPr>
        <xdr:cNvSpPr txBox="1"/>
      </xdr:nvSpPr>
      <xdr:spPr>
        <a:xfrm>
          <a:off x="6280150" y="260350"/>
          <a:ext cx="1549400" cy="501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rgbClr val="1F4D2B"/>
              </a:solidFill>
              <a:latin typeface="Arial" panose="020B0604020202020204" pitchFamily="34" charset="0"/>
              <a:cs typeface="Arial" panose="020B0604020202020204" pitchFamily="34" charset="0"/>
            </a:rPr>
            <a:t>Built</a:t>
          </a:r>
          <a:r>
            <a:rPr lang="en-US" sz="1200" b="1" baseline="0">
              <a:solidFill>
                <a:srgbClr val="1F4D2B"/>
              </a:solidFill>
              <a:latin typeface="Arial" panose="020B0604020202020204" pitchFamily="34" charset="0"/>
              <a:cs typeface="Arial" panose="020B0604020202020204" pitchFamily="34" charset="0"/>
            </a:rPr>
            <a:t> by:</a:t>
          </a:r>
        </a:p>
        <a:p>
          <a:r>
            <a:rPr lang="en-US" sz="1200" b="1" baseline="0">
              <a:solidFill>
                <a:srgbClr val="1F4D2B"/>
              </a:solidFill>
              <a:latin typeface="Arial" panose="020B0604020202020204" pitchFamily="34" charset="0"/>
              <a:cs typeface="Arial" panose="020B0604020202020204" pitchFamily="34" charset="0"/>
            </a:rPr>
            <a:t>Alliyu The Analyst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E51E-30F1-46B3-A393-7A6D4599494F}">
  <dimension ref="A1:T50"/>
  <sheetViews>
    <sheetView tabSelected="1" workbookViewId="0">
      <selection activeCell="I11" sqref="I11"/>
    </sheetView>
  </sheetViews>
  <sheetFormatPr defaultRowHeight="17.5" x14ac:dyDescent="0.35"/>
  <cols>
    <col min="1" max="1" width="3.6328125" style="1" customWidth="1"/>
    <col min="2" max="2" width="2.6328125" style="2" customWidth="1"/>
    <col min="3" max="6" width="25.6328125" style="2" customWidth="1"/>
    <col min="7" max="7" width="2.6328125" style="2" customWidth="1"/>
    <col min="8" max="9" width="25.6328125" style="2" customWidth="1"/>
    <col min="10" max="16384" width="8.7265625" style="2"/>
  </cols>
  <sheetData>
    <row r="1" spans="2:20" ht="18" customHeight="1" thickBot="1" x14ac:dyDescent="0.4">
      <c r="B1" s="1"/>
      <c r="C1" s="1"/>
      <c r="D1" s="1"/>
      <c r="E1" s="1"/>
      <c r="F1" s="1"/>
      <c r="G1" s="29"/>
      <c r="H1" s="30"/>
      <c r="I1" s="3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2:20" ht="18" thickBot="1" x14ac:dyDescent="0.4">
      <c r="B2" s="1"/>
      <c r="C2" s="1"/>
      <c r="D2" s="1"/>
      <c r="E2" s="1"/>
      <c r="F2" s="1"/>
      <c r="G2" s="32"/>
      <c r="H2" s="27" t="s">
        <v>31</v>
      </c>
      <c r="I2" s="27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2:20" x14ac:dyDescent="0.35">
      <c r="B3" s="1"/>
      <c r="C3" s="1"/>
      <c r="D3" s="1"/>
      <c r="E3" s="1"/>
      <c r="F3" s="1"/>
      <c r="G3" s="1"/>
      <c r="H3" s="22" t="str">
        <f>IF(I4&gt;0, "Input detected: Monthly Income", IF(I5&gt;0, "Input detected: Annual Income", "Enter either Monthly or Annual income to begin"))</f>
        <v>Enter either Monthly or Annual income to begin</v>
      </c>
      <c r="I3" s="22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2:20" ht="18" x14ac:dyDescent="0.4">
      <c r="B4" s="1"/>
      <c r="C4" s="1"/>
      <c r="D4" s="1"/>
      <c r="E4" s="1"/>
      <c r="F4" s="1"/>
      <c r="G4" s="1"/>
      <c r="H4" s="4" t="s">
        <v>29</v>
      </c>
      <c r="I4" s="20"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2:20" ht="18" x14ac:dyDescent="0.4">
      <c r="B5" s="1"/>
      <c r="C5" s="1"/>
      <c r="D5" s="1"/>
      <c r="E5" s="1"/>
      <c r="F5" s="1"/>
      <c r="G5" s="1"/>
      <c r="H5" s="4" t="s">
        <v>30</v>
      </c>
      <c r="I5" s="20"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2:20" ht="17.5" customHeight="1" x14ac:dyDescent="0.35">
      <c r="B6" s="1"/>
      <c r="C6" s="3" t="s">
        <v>28</v>
      </c>
      <c r="D6" s="3" t="s">
        <v>33</v>
      </c>
      <c r="E6" s="3" t="s">
        <v>5</v>
      </c>
      <c r="F6" s="3" t="s">
        <v>0</v>
      </c>
      <c r="G6" s="1"/>
      <c r="H6" s="23" t="s">
        <v>32</v>
      </c>
      <c r="I6" s="20">
        <v>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2:20" x14ac:dyDescent="0.35">
      <c r="B7" s="1"/>
      <c r="C7" s="5" t="s">
        <v>15</v>
      </c>
      <c r="D7" s="5" t="s">
        <v>15</v>
      </c>
      <c r="E7" s="5" t="s">
        <v>16</v>
      </c>
      <c r="F7" s="5" t="s">
        <v>16</v>
      </c>
      <c r="G7" s="1"/>
      <c r="H7" s="28" t="s">
        <v>19</v>
      </c>
      <c r="I7" s="28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2:20" x14ac:dyDescent="0.35">
      <c r="B8" s="1"/>
      <c r="C8" s="14">
        <f>IF(I4&gt;0, I4, IF(I5&gt;0, I5/12,0))</f>
        <v>0</v>
      </c>
      <c r="D8" s="14">
        <f>D10/12</f>
        <v>0</v>
      </c>
      <c r="E8" s="15">
        <f>E10/12</f>
        <v>0</v>
      </c>
      <c r="F8" s="16">
        <f>F10/12</f>
        <v>0</v>
      </c>
      <c r="G8" s="1"/>
      <c r="H8" s="4" t="s">
        <v>38</v>
      </c>
      <c r="I8" s="14">
        <f>MIN(0.2*I6, 500000)</f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2:20" x14ac:dyDescent="0.35">
      <c r="B9" s="1"/>
      <c r="C9" s="5" t="s">
        <v>17</v>
      </c>
      <c r="D9" s="5" t="s">
        <v>17</v>
      </c>
      <c r="E9" s="5" t="s">
        <v>18</v>
      </c>
      <c r="F9" s="5" t="s">
        <v>18</v>
      </c>
      <c r="G9" s="1"/>
      <c r="H9" s="4" t="s">
        <v>20</v>
      </c>
      <c r="I9" s="14">
        <f>0.08*C10</f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2:20" x14ac:dyDescent="0.35">
      <c r="B10" s="1"/>
      <c r="C10" s="14">
        <f>IF(I5&gt;0, I5, IF(I4&gt;0, I4*12, 0))</f>
        <v>0</v>
      </c>
      <c r="D10" s="14">
        <f>MAX(0,C10 - I14)</f>
        <v>0</v>
      </c>
      <c r="E10" s="17">
        <f>F20</f>
        <v>0</v>
      </c>
      <c r="F10" s="16">
        <f>IF(D10&gt;0, D10 - E10 + MIN(0.2*I8, 500000),0)</f>
        <v>0</v>
      </c>
      <c r="G10" s="1"/>
      <c r="H10" s="4" t="s">
        <v>21</v>
      </c>
      <c r="I10" s="14">
        <f>0.025*C10</f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2:20" ht="18" x14ac:dyDescent="0.35">
      <c r="B11" s="1"/>
      <c r="C11" s="6"/>
      <c r="D11" s="7" t="s">
        <v>10</v>
      </c>
      <c r="E11" s="13">
        <f>IF(C10&gt;0, E10/C10, 0)</f>
        <v>0</v>
      </c>
      <c r="F11" s="1"/>
      <c r="G11" s="1"/>
      <c r="H11" s="4" t="s">
        <v>22</v>
      </c>
      <c r="I11" s="20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2:20" x14ac:dyDescent="0.35">
      <c r="B12" s="1"/>
      <c r="C12" s="6"/>
      <c r="D12" s="26" t="s">
        <v>3</v>
      </c>
      <c r="E12" s="26"/>
      <c r="F12" s="1"/>
      <c r="G12" s="1"/>
      <c r="H12" s="4" t="s">
        <v>23</v>
      </c>
      <c r="I12" s="20"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2:20" x14ac:dyDescent="0.35">
      <c r="B13" s="1"/>
      <c r="C13" s="8" t="s">
        <v>11</v>
      </c>
      <c r="D13" s="8" t="s">
        <v>12</v>
      </c>
      <c r="E13" s="8" t="s">
        <v>13</v>
      </c>
      <c r="F13" s="8" t="s">
        <v>14</v>
      </c>
      <c r="G13" s="1"/>
      <c r="H13" s="4" t="s">
        <v>24</v>
      </c>
      <c r="I13" s="20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2:20" ht="18" x14ac:dyDescent="0.35">
      <c r="B14" s="1"/>
      <c r="C14" s="9" t="s">
        <v>1</v>
      </c>
      <c r="D14" s="10">
        <v>0</v>
      </c>
      <c r="E14" s="19">
        <f>MAX(0, MIN(D10, 800000) - 0)</f>
        <v>0</v>
      </c>
      <c r="F14" s="19">
        <f>D14*E14</f>
        <v>0</v>
      </c>
      <c r="G14" s="1"/>
      <c r="H14" s="11" t="s">
        <v>36</v>
      </c>
      <c r="I14" s="21">
        <f>SUM(I8:I13)</f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2:20" x14ac:dyDescent="0.35">
      <c r="B15" s="1"/>
      <c r="C15" s="9" t="s">
        <v>6</v>
      </c>
      <c r="D15" s="10">
        <v>0.15</v>
      </c>
      <c r="E15" s="19">
        <f>MAX(0, MIN(D10, 3000000) - 800000)</f>
        <v>0</v>
      </c>
      <c r="F15" s="19">
        <f t="shared" ref="F15:F19" si="0">D15*E15</f>
        <v>0</v>
      </c>
      <c r="G15" s="1"/>
      <c r="H15" s="12" t="s">
        <v>26</v>
      </c>
      <c r="I15" s="1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2:20" x14ac:dyDescent="0.35">
      <c r="B16" s="1"/>
      <c r="C16" s="9" t="s">
        <v>7</v>
      </c>
      <c r="D16" s="10">
        <v>0.18</v>
      </c>
      <c r="E16" s="19">
        <f>MAX(0, MIN(D10, 12000000) - 3000000)</f>
        <v>0</v>
      </c>
      <c r="F16" s="19">
        <f t="shared" si="0"/>
        <v>0</v>
      </c>
      <c r="G16" s="1"/>
      <c r="H16" s="33" t="s">
        <v>25</v>
      </c>
      <c r="I16" s="3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2:20" x14ac:dyDescent="0.35">
      <c r="B17" s="1"/>
      <c r="C17" s="9" t="s">
        <v>8</v>
      </c>
      <c r="D17" s="10">
        <v>0.21</v>
      </c>
      <c r="E17" s="19">
        <f>MAX(0, MIN(D10, 25000000) - 12000000)</f>
        <v>0</v>
      </c>
      <c r="F17" s="19">
        <f t="shared" si="0"/>
        <v>0</v>
      </c>
      <c r="G17" s="1"/>
      <c r="H17" s="33" t="s">
        <v>27</v>
      </c>
      <c r="I17" s="3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2:20" x14ac:dyDescent="0.35">
      <c r="B18" s="1"/>
      <c r="C18" s="9" t="s">
        <v>9</v>
      </c>
      <c r="D18" s="10">
        <v>0.23</v>
      </c>
      <c r="E18" s="19">
        <f>MAX(0, MIN(D10, 50000000) - 25000000)</f>
        <v>0</v>
      </c>
      <c r="F18" s="19">
        <f t="shared" si="0"/>
        <v>0</v>
      </c>
      <c r="G18" s="1"/>
      <c r="H18" s="33" t="s">
        <v>34</v>
      </c>
      <c r="I18" s="3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2:20" x14ac:dyDescent="0.35">
      <c r="B19" s="1"/>
      <c r="C19" s="9" t="s">
        <v>2</v>
      </c>
      <c r="D19" s="10">
        <v>0.25</v>
      </c>
      <c r="E19" s="19">
        <f>MAX(0, D10 - 50000000)</f>
        <v>0</v>
      </c>
      <c r="F19" s="19">
        <f t="shared" si="0"/>
        <v>0</v>
      </c>
      <c r="G19" s="1"/>
      <c r="H19" s="33" t="s">
        <v>35</v>
      </c>
      <c r="I19" s="3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2:20" ht="18" x14ac:dyDescent="0.4">
      <c r="B20" s="1"/>
      <c r="C20" s="24" t="s">
        <v>4</v>
      </c>
      <c r="D20" s="25"/>
      <c r="E20" s="18">
        <f>SUM(E15:E19)</f>
        <v>0</v>
      </c>
      <c r="F20" s="18">
        <f>SUM(F14:F19)</f>
        <v>0</v>
      </c>
      <c r="G20" s="1"/>
      <c r="H20" s="33" t="s">
        <v>37</v>
      </c>
      <c r="I20" s="3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2:20" x14ac:dyDescent="0.35">
      <c r="B21" s="1"/>
      <c r="C21" s="1"/>
      <c r="D21" s="1"/>
      <c r="E21" s="1"/>
      <c r="F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2:20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2:20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2:20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2:20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2:20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2:20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2:20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2:20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2:20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2:20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2:20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2:20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2:20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2:20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2:20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2:20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2:20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2:20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2:20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2:20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2:20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2:20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2:20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2:20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2:20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2:20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2:20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2:20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2:20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</sheetData>
  <sheetProtection algorithmName="SHA-512" hashValue="o+zD8ilZhnK0wdgzpuWkxFrLF/LoeFmfofzIvcwtjCPpjg3q0IYmdP/xTns4lCv/yS824HxGInBItnLEmGoing==" saltValue="NVrshi7Ef663QN5sbJ9P8A==" spinCount="100000" sheet="1" objects="1" scenarios="1" selectLockedCells="1"/>
  <mergeCells count="9">
    <mergeCell ref="C20:D20"/>
    <mergeCell ref="D12:E12"/>
    <mergeCell ref="H2:I2"/>
    <mergeCell ref="H7:I7"/>
    <mergeCell ref="H16:I16"/>
    <mergeCell ref="H17:I17"/>
    <mergeCell ref="H18:I18"/>
    <mergeCell ref="H19:I19"/>
    <mergeCell ref="H20:I20"/>
  </mergeCells>
  <dataValidations count="3">
    <dataValidation type="whole" operator="greaterThanOrEqual" allowBlank="1" showInputMessage="1" showErrorMessage="1" sqref="D10:F10 I11:I14 C11:C12 I8:I9 D8:E8 I6" xr:uid="{1FACCC78-8E4C-4657-88CF-C19162215738}">
      <formula1>0</formula1>
    </dataValidation>
    <dataValidation type="custom" operator="greaterThanOrEqual" allowBlank="1" showInputMessage="1" showErrorMessage="1" error="Please enter either Monthly or Annual income, not both" sqref="I5" xr:uid="{D10BA113-828C-4400-9777-B70D978DDC3B}">
      <formula1>I4=0</formula1>
    </dataValidation>
    <dataValidation type="custom" operator="greaterThanOrEqual" allowBlank="1" showInputMessage="1" showErrorMessage="1" error="Please enter either Monthly or Annual income, not both" sqref="I4" xr:uid="{0FD4C0BF-322A-4D6F-9E68-8635EE03C862}">
      <formula1>I5=0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Alliyu Ajagun</dc:creator>
  <cp:lastModifiedBy>Alliyu Ajagun</cp:lastModifiedBy>
  <dcterms:created xsi:type="dcterms:W3CDTF">2026-01-08T15:12:49Z</dcterms:created>
  <dcterms:modified xsi:type="dcterms:W3CDTF">2026-01-13T16:46:58Z</dcterms:modified>
</cp:coreProperties>
</file>